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dantladda/Downloads/"/>
    </mc:Choice>
  </mc:AlternateContent>
  <xr:revisionPtr revIDLastSave="0" documentId="13_ncr:1_{F0A599D4-28B4-AF48-8650-B5F96329C68D}" xr6:coauthVersionLast="47" xr6:coauthVersionMax="47" xr10:uidLastSave="{00000000-0000-0000-0000-000000000000}"/>
  <bookViews>
    <workbookView xWindow="0" yWindow="720" windowWidth="29400" windowHeight="18400" xr2:uid="{2CA6A7DD-F34D-8A48-898F-AEFCA442F4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E5" i="1"/>
  <c r="B14" i="1"/>
  <c r="H5" i="1"/>
  <c r="B5" i="1"/>
  <c r="B35" i="1"/>
  <c r="H24" i="1"/>
  <c r="E38" i="1"/>
  <c r="H14" i="1"/>
  <c r="B44" i="1"/>
  <c r="E15" i="1"/>
  <c r="E9" i="1"/>
  <c r="E36" i="1"/>
  <c r="H12" i="1"/>
  <c r="H44" i="1"/>
  <c r="E45" i="1"/>
  <c r="B9" i="1"/>
  <c r="B12" i="1"/>
  <c r="E28" i="1"/>
  <c r="H31" i="1"/>
  <c r="E42" i="1"/>
  <c r="E32" i="1"/>
  <c r="E25" i="1"/>
  <c r="E17" i="1"/>
  <c r="E12" i="1"/>
  <c r="E46" i="1" l="1"/>
  <c r="B27" i="1" l="1"/>
  <c r="B24" i="1" l="1"/>
  <c r="B31" i="1" l="1"/>
  <c r="H20" i="1"/>
  <c r="H41" i="1"/>
  <c r="B37" i="1" l="1"/>
  <c r="B20" i="1" l="1"/>
  <c r="H27" i="1"/>
  <c r="H35" i="1"/>
  <c r="H37" i="1"/>
  <c r="B41" i="1"/>
  <c r="H45" i="1" l="1"/>
  <c r="B45" i="1"/>
</calcChain>
</file>

<file path=xl/sharedStrings.xml><?xml version="1.0" encoding="utf-8"?>
<sst xmlns="http://schemas.openxmlformats.org/spreadsheetml/2006/main" count="137" uniqueCount="45">
  <si>
    <t>Sum score</t>
  </si>
  <si>
    <t>SUM SCORE</t>
  </si>
  <si>
    <t>Score</t>
  </si>
  <si>
    <t>Red Card</t>
  </si>
  <si>
    <t>Red card</t>
  </si>
  <si>
    <t>Penalty Miss</t>
  </si>
  <si>
    <t>Penalty miss</t>
  </si>
  <si>
    <t>Off the line</t>
  </si>
  <si>
    <t>Assist</t>
  </si>
  <si>
    <t>Goal</t>
  </si>
  <si>
    <t>Time played</t>
  </si>
  <si>
    <t>Woodwork</t>
  </si>
  <si>
    <t>On target</t>
  </si>
  <si>
    <t>Shott off target</t>
  </si>
  <si>
    <t>Cross completed</t>
  </si>
  <si>
    <t>Chances created</t>
  </si>
  <si>
    <t>Blocks</t>
  </si>
  <si>
    <t>Dribbles lost</t>
  </si>
  <si>
    <t>Dribbles won</t>
  </si>
  <si>
    <t>Key pass</t>
  </si>
  <si>
    <t>Inaccurate pass</t>
  </si>
  <si>
    <t>Accurate pass</t>
  </si>
  <si>
    <t>Errors</t>
  </si>
  <si>
    <t>Own goals</t>
  </si>
  <si>
    <t>Error</t>
  </si>
  <si>
    <t>Offside</t>
  </si>
  <si>
    <t>Fouls</t>
  </si>
  <si>
    <t>Offsides</t>
  </si>
  <si>
    <t>Dispossessed</t>
  </si>
  <si>
    <t>Conceded</t>
  </si>
  <si>
    <t>Team goals</t>
  </si>
  <si>
    <t>Clearance</t>
  </si>
  <si>
    <t>Interception</t>
  </si>
  <si>
    <t>Dribbled</t>
  </si>
  <si>
    <t>Tackles lost</t>
  </si>
  <si>
    <t>Tackles won</t>
  </si>
  <si>
    <t>Aerials lost</t>
  </si>
  <si>
    <t>Aerials won</t>
  </si>
  <si>
    <t>DEFS</t>
  </si>
  <si>
    <t>MIDS</t>
  </si>
  <si>
    <t>FORWARDS</t>
  </si>
  <si>
    <t xml:space="preserve"> </t>
  </si>
  <si>
    <t>Trent</t>
  </si>
  <si>
    <t>Vidal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</si>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</sst>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3523-5B87-3549-B6DC-1C538D17AB24}">
  <dimension ref="A2:X95"/>
  <sheetViews>
    <sheetView tabSelected="1" zoomScale="85" workbookViewId="0">
      <selection activeCell="B39" sqref="B39"/>
    </sheetView>
  </sheetViews>
  <sheetFormatPr baseColWidth="10" defaultRowHeight="16" x14ac:dyDescent="0.2"/>
  <cols>
    <col min="1" max="1" width="16.1640625" customWidth="1"/>
    <col min="4" max="4" width="14.5" customWidth="1"/>
    <col min="7" max="7" width="14.83203125" customWidth="1"/>
  </cols>
  <sheetData>
    <row r="2" spans="1:18" x14ac:dyDescent="0.2">
      <c r="A2" s="1" t="s">
        <v>40</v>
      </c>
      <c r="D2" t="s">
        <v>39</v>
      </c>
      <c r="G2" t="s">
        <v>38</v>
      </c>
    </row>
    <row r="3" spans="1:18" x14ac:dyDescent="0.2">
      <c r="A3" s="1" t="s">
        <v>37</v>
      </c>
      <c r="B3">
        <v>0</v>
      </c>
      <c r="D3" s="1" t="s">
        <v>37</v>
      </c>
      <c r="E3">
        <v>0</v>
      </c>
      <c r="G3" s="1" t="s">
        <v>37</v>
      </c>
      <c r="H3">
        <v>0</v>
      </c>
    </row>
    <row r="4" spans="1:18" x14ac:dyDescent="0.2">
      <c r="A4" s="1" t="s">
        <v>36</v>
      </c>
      <c r="B4">
        <v>0</v>
      </c>
      <c r="D4" s="1" t="s">
        <v>36</v>
      </c>
      <c r="E4">
        <v>0</v>
      </c>
      <c r="G4" s="1" t="s">
        <v>36</v>
      </c>
      <c r="H4">
        <v>1</v>
      </c>
    </row>
    <row r="5" spans="1:18" x14ac:dyDescent="0.2">
      <c r="A5" s="1" t="s">
        <v>2</v>
      </c>
      <c r="B5">
        <f>B3*1.4-B4*0.4</f>
        <v>0</v>
      </c>
      <c r="D5" s="1" t="s">
        <v>2</v>
      </c>
      <c r="E5">
        <f>E3*1.63-E4*1.5</f>
        <v>0</v>
      </c>
      <c r="G5" s="1" t="s">
        <v>2</v>
      </c>
      <c r="H5">
        <f>H3*1.9-H4*1.5</f>
        <v>-1.5</v>
      </c>
    </row>
    <row r="6" spans="1:18" x14ac:dyDescent="0.2">
      <c r="A6" s="1" t="s">
        <v>35</v>
      </c>
      <c r="B6">
        <v>1</v>
      </c>
      <c r="D6" s="1" t="s">
        <v>35</v>
      </c>
      <c r="E6">
        <v>0</v>
      </c>
      <c r="G6" s="1" t="s">
        <v>35</v>
      </c>
      <c r="H6">
        <v>2</v>
      </c>
    </row>
    <row r="7" spans="1:18" x14ac:dyDescent="0.2">
      <c r="A7" s="1" t="s">
        <v>34</v>
      </c>
      <c r="B7">
        <v>0</v>
      </c>
      <c r="D7" s="1" t="s">
        <v>34</v>
      </c>
      <c r="E7" s="1">
        <v>0</v>
      </c>
      <c r="G7" s="1" t="s">
        <v>34</v>
      </c>
      <c r="H7" s="1">
        <v>0</v>
      </c>
    </row>
    <row r="8" spans="1:18" x14ac:dyDescent="0.2">
      <c r="A8" s="1" t="s">
        <v>33</v>
      </c>
      <c r="B8">
        <v>0</v>
      </c>
      <c r="D8" s="1" t="s">
        <v>33</v>
      </c>
      <c r="E8" s="1">
        <v>0</v>
      </c>
      <c r="G8" s="1" t="s">
        <v>33</v>
      </c>
      <c r="H8" s="1">
        <v>0</v>
      </c>
    </row>
    <row r="9" spans="1:18" x14ac:dyDescent="0.2">
      <c r="A9" s="1" t="s">
        <v>2</v>
      </c>
      <c r="B9">
        <f>B6*2.6-B7*0.5-B8*0.5</f>
        <v>2.6</v>
      </c>
      <c r="D9" s="1" t="s">
        <v>2</v>
      </c>
      <c r="E9">
        <f>E6*2.6-E7*0.6-E8*0.6</f>
        <v>0</v>
      </c>
      <c r="G9" s="1" t="s">
        <v>2</v>
      </c>
      <c r="H9" s="1">
        <f>H6*2.7-H7*0.8-H8*0.8</f>
        <v>5.4</v>
      </c>
    </row>
    <row r="10" spans="1:18" x14ac:dyDescent="0.2">
      <c r="A10" s="1" t="s">
        <v>32</v>
      </c>
      <c r="B10">
        <v>0</v>
      </c>
      <c r="D10" s="1" t="s">
        <v>32</v>
      </c>
      <c r="E10">
        <v>0</v>
      </c>
      <c r="F10" t="s">
        <v>41</v>
      </c>
      <c r="G10" s="1" t="s">
        <v>32</v>
      </c>
      <c r="H10" s="1">
        <v>1</v>
      </c>
    </row>
    <row r="11" spans="1:18" x14ac:dyDescent="0.2">
      <c r="A11" s="1" t="s">
        <v>31</v>
      </c>
      <c r="B11">
        <v>0</v>
      </c>
      <c r="D11" s="1" t="s">
        <v>31</v>
      </c>
      <c r="E11">
        <v>0</v>
      </c>
      <c r="G11" s="1" t="s">
        <v>31</v>
      </c>
      <c r="H11" s="1">
        <v>0</v>
      </c>
      <c r="N11" t="s">
        <v>42</v>
      </c>
      <c r="O11">
        <v>52</v>
      </c>
    </row>
    <row r="12" spans="1:18" x14ac:dyDescent="0.2">
      <c r="A12" s="1" t="s">
        <v>2</v>
      </c>
      <c r="B12">
        <f>B10*2.7+B11*0.8</f>
        <v>0</v>
      </c>
      <c r="D12" s="1" t="s">
        <v>2</v>
      </c>
      <c r="E12">
        <f>E10*2.5+E11*1.1</f>
        <v>0</v>
      </c>
      <c r="G12" s="1" t="s">
        <v>2</v>
      </c>
      <c r="H12" s="1">
        <f>H10*2.7+H11*1.1</f>
        <v>2.7</v>
      </c>
      <c r="N12" t="s">
        <v>43</v>
      </c>
      <c r="O12">
        <v>39</v>
      </c>
    </row>
    <row r="13" spans="1:18" x14ac:dyDescent="0.2">
      <c r="A13" s="1" t="s">
        <v>30</v>
      </c>
      <c r="B13">
        <v>2</v>
      </c>
      <c r="D13" s="1" t="s">
        <v>30</v>
      </c>
      <c r="E13">
        <v>2</v>
      </c>
      <c r="G13" s="1" t="s">
        <v>29</v>
      </c>
      <c r="H13" s="1">
        <v>1</v>
      </c>
    </row>
    <row r="14" spans="1:18" x14ac:dyDescent="0.2">
      <c r="A14" s="1" t="s">
        <v>2</v>
      </c>
      <c r="B14">
        <f>3*B13</f>
        <v>6</v>
      </c>
      <c r="D14" s="1" t="s">
        <v>29</v>
      </c>
      <c r="E14">
        <v>0</v>
      </c>
      <c r="G14" s="1" t="s">
        <v>2</v>
      </c>
      <c r="H14" s="1">
        <f>10-(5*H13)</f>
        <v>5</v>
      </c>
    </row>
    <row r="15" spans="1:18" x14ac:dyDescent="0.2">
      <c r="A15" s="1" t="s">
        <v>28</v>
      </c>
      <c r="B15">
        <v>2</v>
      </c>
      <c r="D15" s="1" t="s">
        <v>2</v>
      </c>
      <c r="E15">
        <f>4-(2*E14)+(2*E13)</f>
        <v>8</v>
      </c>
      <c r="G15" s="1" t="s">
        <v>28</v>
      </c>
      <c r="H15" s="1">
        <v>0</v>
      </c>
      <c r="R15" s="2"/>
    </row>
    <row r="16" spans="1:18" x14ac:dyDescent="0.2">
      <c r="A16" s="1" t="s">
        <v>26</v>
      </c>
      <c r="B16">
        <v>1</v>
      </c>
      <c r="D16" s="1" t="s">
        <v>28</v>
      </c>
      <c r="E16">
        <v>0</v>
      </c>
      <c r="G16" s="1" t="s">
        <v>26</v>
      </c>
      <c r="H16" s="1">
        <v>2</v>
      </c>
    </row>
    <row r="17" spans="1:21" x14ac:dyDescent="0.2">
      <c r="A17" s="1" t="s">
        <v>25</v>
      </c>
      <c r="B17">
        <v>0</v>
      </c>
      <c r="D17" s="1" t="s">
        <v>2</v>
      </c>
      <c r="E17">
        <f>3-(E16*1.1)-(E18+E19)*0.55-(E20*3.3)-(E21*5)</f>
        <v>3</v>
      </c>
      <c r="G17" s="1" t="s">
        <v>27</v>
      </c>
      <c r="H17" s="1">
        <v>0</v>
      </c>
    </row>
    <row r="18" spans="1:21" x14ac:dyDescent="0.2">
      <c r="A18" s="1" t="s">
        <v>23</v>
      </c>
      <c r="D18" s="1" t="s">
        <v>26</v>
      </c>
      <c r="E18">
        <v>0</v>
      </c>
      <c r="G18" s="1" t="s">
        <v>23</v>
      </c>
      <c r="H18" s="1">
        <v>0</v>
      </c>
    </row>
    <row r="19" spans="1:21" x14ac:dyDescent="0.2">
      <c r="A19" s="1" t="s">
        <v>22</v>
      </c>
      <c r="B19">
        <v>0</v>
      </c>
      <c r="D19" s="1" t="s">
        <v>25</v>
      </c>
      <c r="E19">
        <v>0</v>
      </c>
      <c r="G19" s="1" t="s">
        <v>24</v>
      </c>
      <c r="H19" s="1">
        <v>0</v>
      </c>
    </row>
    <row r="20" spans="1:21" x14ac:dyDescent="0.2">
      <c r="A20" s="1" t="s">
        <v>2</v>
      </c>
      <c r="B20">
        <f>5-(B15*0.9)-(B16+B17)*0.5-(B18*3)-(B19*5)</f>
        <v>2.7</v>
      </c>
      <c r="D20" s="1" t="s">
        <v>23</v>
      </c>
      <c r="E20">
        <v>0</v>
      </c>
      <c r="G20" s="1" t="s">
        <v>2</v>
      </c>
      <c r="H20" s="1">
        <f>3-(H15*1.2)-(H16+H17)*0.6-(H18*3.5)-(H19*5)</f>
        <v>1.8</v>
      </c>
    </row>
    <row r="21" spans="1:21" x14ac:dyDescent="0.2">
      <c r="A21" s="1" t="s">
        <v>21</v>
      </c>
      <c r="B21">
        <v>33</v>
      </c>
      <c r="D21" s="1" t="s">
        <v>22</v>
      </c>
      <c r="E21">
        <v>0</v>
      </c>
      <c r="G21" s="1" t="s">
        <v>21</v>
      </c>
      <c r="H21" s="1">
        <v>29</v>
      </c>
    </row>
    <row r="22" spans="1:21" x14ac:dyDescent="0.2">
      <c r="A22" s="1" t="s">
        <v>20</v>
      </c>
      <c r="B22">
        <v>7</v>
      </c>
      <c r="D22" s="1" t="s">
        <v>21</v>
      </c>
      <c r="E22">
        <v>31</v>
      </c>
      <c r="G22" s="1" t="s">
        <v>20</v>
      </c>
      <c r="H22" s="1">
        <v>7</v>
      </c>
    </row>
    <row r="23" spans="1:21" x14ac:dyDescent="0.2">
      <c r="A23" s="1" t="s">
        <v>19</v>
      </c>
      <c r="B23">
        <v>2</v>
      </c>
      <c r="D23" s="1" t="s">
        <v>20</v>
      </c>
      <c r="E23">
        <v>7</v>
      </c>
      <c r="G23" s="1" t="s">
        <v>19</v>
      </c>
      <c r="H23" s="1">
        <v>2</v>
      </c>
    </row>
    <row r="24" spans="1:21" x14ac:dyDescent="0.2">
      <c r="A24" s="1" t="s">
        <v>2</v>
      </c>
      <c r="B24">
        <f>B21/6-B22/8+B23*1.5</f>
        <v>7.625</v>
      </c>
      <c r="D24" s="1" t="s">
        <v>19</v>
      </c>
      <c r="E24">
        <v>1</v>
      </c>
      <c r="G24" s="1" t="s">
        <v>2</v>
      </c>
      <c r="H24" s="1">
        <f>H21/9-H22/4.5+H23</f>
        <v>3.666666666666667</v>
      </c>
    </row>
    <row r="25" spans="1:21" x14ac:dyDescent="0.2">
      <c r="A25" s="1" t="s">
        <v>18</v>
      </c>
      <c r="B25">
        <v>1</v>
      </c>
      <c r="D25" s="1" t="s">
        <v>2</v>
      </c>
      <c r="E25">
        <f>E22/6.65-E23/3.2+E24</f>
        <v>3.4741541353383454</v>
      </c>
      <c r="G25" s="1" t="s">
        <v>18</v>
      </c>
      <c r="H25" s="1">
        <v>2</v>
      </c>
    </row>
    <row r="26" spans="1:21" x14ac:dyDescent="0.2">
      <c r="A26" s="1" t="s">
        <v>17</v>
      </c>
      <c r="B26">
        <v>2</v>
      </c>
      <c r="D26" s="1" t="s">
        <v>18</v>
      </c>
      <c r="E26">
        <v>0</v>
      </c>
      <c r="G26" s="1" t="s">
        <v>17</v>
      </c>
      <c r="H26" s="1">
        <v>5</v>
      </c>
    </row>
    <row r="27" spans="1:21" x14ac:dyDescent="0.2">
      <c r="A27" s="1" t="s">
        <v>2</v>
      </c>
      <c r="B27">
        <f>B25*3-B26*1</f>
        <v>1</v>
      </c>
      <c r="D27" s="1" t="s">
        <v>17</v>
      </c>
      <c r="E27">
        <v>0</v>
      </c>
      <c r="G27" s="1" t="s">
        <v>2</v>
      </c>
      <c r="H27" s="1">
        <f>H25*2.5-H26*0.8</f>
        <v>1</v>
      </c>
    </row>
    <row r="28" spans="1:21" x14ac:dyDescent="0.2">
      <c r="A28" s="1" t="s">
        <v>16</v>
      </c>
      <c r="B28">
        <v>0</v>
      </c>
      <c r="D28" s="1" t="s">
        <v>2</v>
      </c>
      <c r="E28">
        <f>E26*2.9-E27*0.8</f>
        <v>0</v>
      </c>
      <c r="G28" s="1" t="s">
        <v>16</v>
      </c>
      <c r="H28" s="1">
        <v>0</v>
      </c>
      <c r="T28">
        <v>71</v>
      </c>
    </row>
    <row r="29" spans="1:21" x14ac:dyDescent="0.2">
      <c r="A29" s="1" t="s">
        <v>15</v>
      </c>
      <c r="B29">
        <v>2</v>
      </c>
      <c r="D29" s="1" t="s">
        <v>16</v>
      </c>
      <c r="E29">
        <v>0</v>
      </c>
      <c r="G29" s="1" t="s">
        <v>15</v>
      </c>
      <c r="H29" s="1">
        <v>2</v>
      </c>
    </row>
    <row r="30" spans="1:21" x14ac:dyDescent="0.2">
      <c r="A30" s="1" t="s">
        <v>14</v>
      </c>
      <c r="B30">
        <v>0</v>
      </c>
      <c r="D30" s="1" t="s">
        <v>15</v>
      </c>
      <c r="E30">
        <v>1</v>
      </c>
      <c r="G30" s="1" t="s">
        <v>14</v>
      </c>
      <c r="H30" s="1">
        <v>2</v>
      </c>
    </row>
    <row r="31" spans="1:21" x14ac:dyDescent="0.2">
      <c r="A31" s="1" t="s">
        <v>2</v>
      </c>
      <c r="B31">
        <f>B28*0.8+B29*1.5+B30*1.2</f>
        <v>3</v>
      </c>
      <c r="D31" s="1" t="s">
        <v>14</v>
      </c>
      <c r="E31">
        <v>1</v>
      </c>
      <c r="G31" s="1" t="s">
        <v>2</v>
      </c>
      <c r="H31" s="1">
        <f>H28*1.1+H29*1.5+H30*1.2</f>
        <v>5.4</v>
      </c>
      <c r="U31">
        <v>0</v>
      </c>
    </row>
    <row r="32" spans="1:21" x14ac:dyDescent="0.2">
      <c r="A32" s="1" t="s">
        <v>13</v>
      </c>
      <c r="B32">
        <v>0</v>
      </c>
      <c r="D32" s="1" t="s">
        <v>2</v>
      </c>
      <c r="E32">
        <f>E29*1.1+E30*1.5+E31*1.2</f>
        <v>2.7</v>
      </c>
      <c r="G32" s="1" t="s">
        <v>13</v>
      </c>
      <c r="H32" s="1">
        <v>0</v>
      </c>
    </row>
    <row r="33" spans="1:24" x14ac:dyDescent="0.2">
      <c r="A33" s="1" t="s">
        <v>12</v>
      </c>
      <c r="B33">
        <v>1</v>
      </c>
      <c r="D33" s="1" t="s">
        <v>13</v>
      </c>
      <c r="E33">
        <v>0</v>
      </c>
      <c r="G33" s="1" t="s">
        <v>12</v>
      </c>
      <c r="H33" s="1">
        <v>0</v>
      </c>
    </row>
    <row r="34" spans="1:24" x14ac:dyDescent="0.2">
      <c r="A34" s="1" t="s">
        <v>11</v>
      </c>
      <c r="B34">
        <v>0</v>
      </c>
      <c r="D34" s="1" t="s">
        <v>12</v>
      </c>
      <c r="E34">
        <v>0</v>
      </c>
      <c r="G34" s="1" t="s">
        <v>11</v>
      </c>
      <c r="H34" s="1">
        <v>0</v>
      </c>
      <c r="V34">
        <v>0</v>
      </c>
    </row>
    <row r="35" spans="1:24" x14ac:dyDescent="0.2">
      <c r="A35" s="1" t="s">
        <v>2</v>
      </c>
      <c r="B35">
        <f>B33*3+B34*3-B32*0.3</f>
        <v>3</v>
      </c>
      <c r="D35" s="1" t="s">
        <v>11</v>
      </c>
      <c r="E35">
        <v>0</v>
      </c>
      <c r="G35" s="1" t="s">
        <v>2</v>
      </c>
      <c r="H35" s="1">
        <f>H32/2+H33*2.5+H34*3</f>
        <v>0</v>
      </c>
      <c r="V35">
        <v>0</v>
      </c>
    </row>
    <row r="36" spans="1:24" x14ac:dyDescent="0.2">
      <c r="A36" s="1" t="s">
        <v>10</v>
      </c>
      <c r="B36">
        <v>90</v>
      </c>
      <c r="D36" s="1" t="s">
        <v>2</v>
      </c>
      <c r="E36">
        <f>E33/4+E34*2.2+E35*3</f>
        <v>0</v>
      </c>
      <c r="G36" s="1" t="s">
        <v>10</v>
      </c>
      <c r="H36" s="1">
        <v>90</v>
      </c>
    </row>
    <row r="37" spans="1:24" x14ac:dyDescent="0.2">
      <c r="A37" s="1" t="s">
        <v>2</v>
      </c>
      <c r="B37">
        <f>B36/30</f>
        <v>3</v>
      </c>
      <c r="D37" s="1" t="s">
        <v>10</v>
      </c>
      <c r="E37">
        <v>72</v>
      </c>
      <c r="G37" s="1" t="s">
        <v>2</v>
      </c>
      <c r="H37" s="1">
        <f>H36/30</f>
        <v>3</v>
      </c>
      <c r="T37">
        <v>0</v>
      </c>
      <c r="V37">
        <v>3</v>
      </c>
    </row>
    <row r="38" spans="1:24" x14ac:dyDescent="0.2">
      <c r="A38" s="1" t="s">
        <v>9</v>
      </c>
      <c r="B38">
        <v>0</v>
      </c>
      <c r="D38" s="1" t="s">
        <v>2</v>
      </c>
      <c r="E38">
        <f>E37/30</f>
        <v>2.4</v>
      </c>
      <c r="G38" s="1" t="s">
        <v>9</v>
      </c>
      <c r="H38" s="1">
        <v>0</v>
      </c>
      <c r="V38">
        <v>0</v>
      </c>
    </row>
    <row r="39" spans="1:24" x14ac:dyDescent="0.2">
      <c r="A39" s="1" t="s">
        <v>8</v>
      </c>
      <c r="B39">
        <v>0</v>
      </c>
      <c r="D39" s="1" t="s">
        <v>9</v>
      </c>
      <c r="E39">
        <v>0</v>
      </c>
      <c r="G39" s="1" t="s">
        <v>8</v>
      </c>
      <c r="H39" s="1">
        <v>0</v>
      </c>
      <c r="X39" t="s">
        <v>44</v>
      </c>
    </row>
    <row r="40" spans="1:24" x14ac:dyDescent="0.2">
      <c r="A40" s="1" t="s">
        <v>7</v>
      </c>
      <c r="B40">
        <v>0</v>
      </c>
      <c r="D40" s="1" t="s">
        <v>8</v>
      </c>
      <c r="E40">
        <v>1</v>
      </c>
      <c r="G40" s="1" t="s">
        <v>7</v>
      </c>
      <c r="H40" s="1">
        <v>0</v>
      </c>
    </row>
    <row r="41" spans="1:24" x14ac:dyDescent="0.2">
      <c r="A41" s="1" t="s">
        <v>2</v>
      </c>
      <c r="B41">
        <f>B38*10+B39*8+B40*3</f>
        <v>0</v>
      </c>
      <c r="D41" s="1" t="s">
        <v>7</v>
      </c>
      <c r="G41" s="1" t="s">
        <v>2</v>
      </c>
      <c r="H41" s="1">
        <f>H38*10+H39*8+H40*3</f>
        <v>0</v>
      </c>
    </row>
    <row r="42" spans="1:24" x14ac:dyDescent="0.2">
      <c r="A42" s="1" t="s">
        <v>6</v>
      </c>
      <c r="B42">
        <v>0</v>
      </c>
      <c r="D42" s="1" t="s">
        <v>2</v>
      </c>
      <c r="E42">
        <f>E39*10+E40*8+E41*3</f>
        <v>8</v>
      </c>
      <c r="G42" s="1" t="s">
        <v>6</v>
      </c>
      <c r="H42" s="1">
        <v>0</v>
      </c>
    </row>
    <row r="43" spans="1:24" x14ac:dyDescent="0.2">
      <c r="A43" s="1" t="s">
        <v>4</v>
      </c>
      <c r="D43" s="1" t="s">
        <v>5</v>
      </c>
      <c r="E43">
        <v>0</v>
      </c>
      <c r="G43" s="1" t="s">
        <v>4</v>
      </c>
      <c r="H43" s="1"/>
    </row>
    <row r="44" spans="1:24" x14ac:dyDescent="0.2">
      <c r="A44" s="1" t="s">
        <v>2</v>
      </c>
      <c r="B44">
        <f>B42*-5+B43*-4</f>
        <v>0</v>
      </c>
      <c r="D44" s="1" t="s">
        <v>3</v>
      </c>
      <c r="E44">
        <v>0</v>
      </c>
      <c r="G44" s="1" t="s">
        <v>2</v>
      </c>
      <c r="H44" s="1">
        <f>H42*-5 + H43*-4</f>
        <v>0</v>
      </c>
    </row>
    <row r="45" spans="1:24" x14ac:dyDescent="0.2">
      <c r="A45" s="1" t="s">
        <v>1</v>
      </c>
      <c r="B45">
        <f>SUM(B5,B9,B12,B14,B20,B24,B27,B31,B35,B37,B41,B44)</f>
        <v>28.925000000000001</v>
      </c>
      <c r="D45" s="1" t="s">
        <v>2</v>
      </c>
      <c r="E45">
        <f>E43*-5 + E44*-4</f>
        <v>0</v>
      </c>
      <c r="G45" s="1" t="s">
        <v>1</v>
      </c>
      <c r="H45" s="1">
        <f>SUM(H5,H9,H12,H14,H20,H24,H27,H31,H35,H37,H41,H44)</f>
        <v>26.466666666666669</v>
      </c>
    </row>
    <row r="46" spans="1:24" x14ac:dyDescent="0.2">
      <c r="D46" s="1" t="s">
        <v>0</v>
      </c>
      <c r="E46">
        <f>SUM(E5,E9,E12,E15,E17,E25,E28,E32,E36,E38,E42,E45)</f>
        <v>27.574154135338343</v>
      </c>
      <c r="H46" s="1"/>
    </row>
    <row r="47" spans="1:24" x14ac:dyDescent="0.2">
      <c r="H47" s="1"/>
    </row>
    <row r="48" spans="1:24" x14ac:dyDescent="0.2">
      <c r="H48" s="1"/>
    </row>
    <row r="49" spans="4:8" x14ac:dyDescent="0.2">
      <c r="H49" s="1"/>
    </row>
    <row r="52" spans="4:8" x14ac:dyDescent="0.2">
      <c r="D52" s="1"/>
    </row>
    <row r="53" spans="4:8" x14ac:dyDescent="0.2">
      <c r="D53" s="1"/>
    </row>
    <row r="54" spans="4:8" x14ac:dyDescent="0.2">
      <c r="D54" s="1"/>
    </row>
    <row r="55" spans="4:8" x14ac:dyDescent="0.2">
      <c r="D55" s="1"/>
    </row>
    <row r="56" spans="4:8" x14ac:dyDescent="0.2">
      <c r="D56" s="1"/>
      <c r="E56" s="1"/>
    </row>
    <row r="57" spans="4:8" x14ac:dyDescent="0.2">
      <c r="D57" s="1"/>
      <c r="E57" s="1"/>
    </row>
    <row r="58" spans="4:8" x14ac:dyDescent="0.2">
      <c r="D58" s="1"/>
    </row>
    <row r="59" spans="4:8" x14ac:dyDescent="0.2">
      <c r="D59" s="1"/>
    </row>
    <row r="60" spans="4:8" x14ac:dyDescent="0.2">
      <c r="D60" s="1"/>
    </row>
    <row r="61" spans="4:8" x14ac:dyDescent="0.2">
      <c r="D61" s="1"/>
    </row>
    <row r="62" spans="4:8" x14ac:dyDescent="0.2">
      <c r="D62" s="1"/>
    </row>
    <row r="63" spans="4:8" x14ac:dyDescent="0.2">
      <c r="D63" s="1"/>
    </row>
    <row r="64" spans="4:8" x14ac:dyDescent="0.2">
      <c r="D64" s="1"/>
    </row>
    <row r="65" spans="4:4" x14ac:dyDescent="0.2">
      <c r="D65" s="1"/>
    </row>
    <row r="66" spans="4:4" x14ac:dyDescent="0.2">
      <c r="D66" s="1"/>
    </row>
    <row r="67" spans="4:4" x14ac:dyDescent="0.2">
      <c r="D67" s="1"/>
    </row>
    <row r="68" spans="4:4" x14ac:dyDescent="0.2">
      <c r="D68" s="1"/>
    </row>
    <row r="69" spans="4:4" x14ac:dyDescent="0.2">
      <c r="D69" s="1"/>
    </row>
    <row r="70" spans="4:4" x14ac:dyDescent="0.2">
      <c r="D70" s="1"/>
    </row>
    <row r="71" spans="4:4" x14ac:dyDescent="0.2">
      <c r="D71" s="1"/>
    </row>
    <row r="72" spans="4:4" x14ac:dyDescent="0.2">
      <c r="D72" s="1"/>
    </row>
    <row r="73" spans="4:4" x14ac:dyDescent="0.2">
      <c r="D73" s="1"/>
    </row>
    <row r="74" spans="4:4" x14ac:dyDescent="0.2">
      <c r="D74" s="1"/>
    </row>
    <row r="75" spans="4:4" x14ac:dyDescent="0.2">
      <c r="D75" s="1"/>
    </row>
    <row r="76" spans="4:4" x14ac:dyDescent="0.2">
      <c r="D76" s="1"/>
    </row>
    <row r="77" spans="4:4" x14ac:dyDescent="0.2">
      <c r="D77" s="1"/>
    </row>
    <row r="78" spans="4:4" x14ac:dyDescent="0.2">
      <c r="D78" s="1"/>
    </row>
    <row r="79" spans="4:4" x14ac:dyDescent="0.2">
      <c r="D79" s="1"/>
    </row>
    <row r="80" spans="4:4" x14ac:dyDescent="0.2">
      <c r="D80" s="1"/>
    </row>
    <row r="81" spans="4:4" x14ac:dyDescent="0.2">
      <c r="D81" s="1"/>
    </row>
    <row r="82" spans="4:4" x14ac:dyDescent="0.2">
      <c r="D82" s="1"/>
    </row>
    <row r="83" spans="4:4" x14ac:dyDescent="0.2">
      <c r="D83" s="1"/>
    </row>
    <row r="84" spans="4:4" x14ac:dyDescent="0.2">
      <c r="D84" s="1"/>
    </row>
    <row r="85" spans="4:4" x14ac:dyDescent="0.2">
      <c r="D85" s="1"/>
    </row>
    <row r="86" spans="4:4" x14ac:dyDescent="0.2">
      <c r="D86" s="1"/>
    </row>
    <row r="87" spans="4:4" x14ac:dyDescent="0.2">
      <c r="D87" s="1"/>
    </row>
    <row r="88" spans="4:4" x14ac:dyDescent="0.2">
      <c r="D88" s="1"/>
    </row>
    <row r="89" spans="4:4" x14ac:dyDescent="0.2">
      <c r="D89" s="1"/>
    </row>
    <row r="90" spans="4:4" x14ac:dyDescent="0.2">
      <c r="D90" s="1"/>
    </row>
    <row r="91" spans="4:4" x14ac:dyDescent="0.2">
      <c r="D91" s="1"/>
    </row>
    <row r="92" spans="4:4" x14ac:dyDescent="0.2">
      <c r="D92" s="1"/>
    </row>
    <row r="93" spans="4:4" x14ac:dyDescent="0.2">
      <c r="D93" s="1"/>
    </row>
    <row r="94" spans="4:4" x14ac:dyDescent="0.2">
      <c r="D94" s="1"/>
    </row>
    <row r="95" spans="4:4" x14ac:dyDescent="0.2">
      <c r="D9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vedant ladda</cp:lastModifiedBy>
  <dcterms:created xsi:type="dcterms:W3CDTF">2019-11-05T22:39:36Z</dcterms:created>
  <dcterms:modified xsi:type="dcterms:W3CDTF">2025-03-06T09:10:53Z</dcterms:modified>
</cp:coreProperties>
</file>